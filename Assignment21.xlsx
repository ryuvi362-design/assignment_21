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78230292e7ad509/Desktop/python/EXCEL ASSISIGNMENT/"/>
    </mc:Choice>
  </mc:AlternateContent>
  <xr:revisionPtr revIDLastSave="143" documentId="8_{05D1CE94-F6A3-4F5D-9073-1878FCC0FA81}" xr6:coauthVersionLast="47" xr6:coauthVersionMax="47" xr10:uidLastSave="{D8C1FF80-2BF8-4D4B-8BC2-587C025F47AD}"/>
  <bookViews>
    <workbookView xWindow="-108" yWindow="-108" windowWidth="23256" windowHeight="12456" firstSheet="2" activeTab="4" xr2:uid="{F517096F-7370-473F-81E6-8341A391591F}"/>
  </bookViews>
  <sheets>
    <sheet name="Orders" sheetId="1" r:id="rId1"/>
    <sheet name="Restaurant Detail| Restaurant I" sheetId="2" r:id="rId2"/>
    <sheet name="City summery" sheetId="3" r:id="rId3"/>
    <sheet name="Dashboar data" sheetId="5" r:id="rId4"/>
    <sheet name="Restaurant" sheetId="9" r:id="rId5"/>
    <sheet name="Dashboard" sheetId="4" r:id="rId6"/>
  </sheets>
  <definedNames>
    <definedName name="_xlnm._FilterDatabase" localSheetId="0" hidden="1">Orders!$A$1:$J$13</definedName>
  </definedNames>
  <calcPr calcId="191029"/>
  <pivotCaches>
    <pivotCache cacheId="12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2" i="1"/>
</calcChain>
</file>

<file path=xl/sharedStrings.xml><?xml version="1.0" encoding="utf-8"?>
<sst xmlns="http://schemas.openxmlformats.org/spreadsheetml/2006/main" count="106" uniqueCount="52">
  <si>
    <t>Order ID</t>
  </si>
  <si>
    <t>Restaurant ID</t>
  </si>
  <si>
    <t>City</t>
  </si>
  <si>
    <t>Delivery Date</t>
  </si>
  <si>
    <t>Delivery Partner</t>
  </si>
  <si>
    <t>Delivery Time</t>
  </si>
  <si>
    <t>Delivery Charge</t>
  </si>
  <si>
    <t>Amount</t>
  </si>
  <si>
    <t>O001</t>
  </si>
  <si>
    <t>R101</t>
  </si>
  <si>
    <t>Ahmedabad</t>
  </si>
  <si>
    <t>Rahul</t>
  </si>
  <si>
    <t>O002</t>
  </si>
  <si>
    <t>R102</t>
  </si>
  <si>
    <t>Surat</t>
  </si>
  <si>
    <t>Priya</t>
  </si>
  <si>
    <t>O003</t>
  </si>
  <si>
    <t>R103</t>
  </si>
  <si>
    <t>O004</t>
  </si>
  <si>
    <t>R104</t>
  </si>
  <si>
    <t>Vadodara</t>
  </si>
  <si>
    <t>Amit</t>
  </si>
  <si>
    <t>O005</t>
  </si>
  <si>
    <t>O006</t>
  </si>
  <si>
    <t>R105</t>
  </si>
  <si>
    <t>Neha</t>
  </si>
  <si>
    <t>O007</t>
  </si>
  <si>
    <t>O008</t>
  </si>
  <si>
    <t>O009</t>
  </si>
  <si>
    <t>O010</t>
  </si>
  <si>
    <t>O011</t>
  </si>
  <si>
    <t>O012</t>
  </si>
  <si>
    <t>Unassigned</t>
  </si>
  <si>
    <t>Restaurant Name</t>
  </si>
  <si>
    <t>Burger House</t>
  </si>
  <si>
    <t>Spice Kitchen</t>
  </si>
  <si>
    <t>Biryani Point</t>
  </si>
  <si>
    <t>Food Corner</t>
  </si>
  <si>
    <t>Pizza hub</t>
  </si>
  <si>
    <t>Pizza Point</t>
  </si>
  <si>
    <t>Dominoz</t>
  </si>
  <si>
    <t>Pizza Hurt</t>
  </si>
  <si>
    <t>Burger King</t>
  </si>
  <si>
    <t>Hedkey</t>
  </si>
  <si>
    <t>Kitchen</t>
  </si>
  <si>
    <t>Udipy</t>
  </si>
  <si>
    <t>Day</t>
  </si>
  <si>
    <t>Row Labels</t>
  </si>
  <si>
    <t>Grand Total</t>
  </si>
  <si>
    <t>Count of Order ID</t>
  </si>
  <si>
    <t>Sum of Delivery Charge</t>
  </si>
  <si>
    <t>Average of Delivery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</si>
</sst>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[$-14009]dd/mm/yyyy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69" fontId="0" fillId="0" borderId="0" xfId="0" applyNumberFormat="1" applyAlignment="1">
      <alignment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[Assignment21.xlsx]City summery!PivotTable1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'City summery'!$B$3</c:f>
              <c:strCache>
                <c:ptCount val="1"/>
                <c:pt idx="0">
                  <c:v>Count of Order 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'City summery'!$A$4:$A$7</c:f>
              <c:strCache>
                <c:ptCount val="3"/>
                <c:pt idx="0">
                  <c:v>Ahmedabad</c:v>
                </c:pt>
                <c:pt idx="1">
                  <c:v>Surat</c:v>
                </c:pt>
                <c:pt idx="2">
                  <c:v>Vadodara</c:v>
                </c:pt>
              </c:strCache>
            </c:strRef>
          </c:cat>
          <c:val>
            <c:numRef>
              <c:f>'City summery'!$B$4:$B$7</c:f>
              <c:numCache>
                <c:formatCode>General</c:formatCode>
                <c:ptCount val="3"/>
                <c:pt idx="0">
                  <c:v>5</c:v>
                </c:pt>
                <c:pt idx="1">
                  <c:v>4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71-4F0B-A1B8-AA54F45843A0}"/>
            </c:ext>
          </c:extLst>
        </c:ser>
        <c:ser>
          <c:idx val="1"/>
          <c:order val="1"/>
          <c:tx>
            <c:strRef>
              <c:f>'City summery'!$C$3</c:f>
              <c:strCache>
                <c:ptCount val="1"/>
                <c:pt idx="0">
                  <c:v>Sum of Delivery Charge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'City summery'!$A$4:$A$7</c:f>
              <c:strCache>
                <c:ptCount val="3"/>
                <c:pt idx="0">
                  <c:v>Ahmedabad</c:v>
                </c:pt>
                <c:pt idx="1">
                  <c:v>Surat</c:v>
                </c:pt>
                <c:pt idx="2">
                  <c:v>Vadodara</c:v>
                </c:pt>
              </c:strCache>
            </c:strRef>
          </c:cat>
          <c:val>
            <c:numRef>
              <c:f>'City summery'!$C$4:$C$7</c:f>
              <c:numCache>
                <c:formatCode>General</c:formatCode>
                <c:ptCount val="3"/>
                <c:pt idx="0">
                  <c:v>145</c:v>
                </c:pt>
                <c:pt idx="1">
                  <c:v>145</c:v>
                </c:pt>
                <c:pt idx="2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71-4F0B-A1B8-AA54F45843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5690527"/>
        <c:axId val="1427617103"/>
      </c:barChart>
      <c:catAx>
        <c:axId val="1465690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617103"/>
        <c:crosses val="autoZero"/>
        <c:auto val="1"/>
        <c:lblAlgn val="ctr"/>
        <c:lblOffset val="100"/>
        <c:noMultiLvlLbl val="0"/>
      </c:catAx>
      <c:valAx>
        <c:axId val="1427617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5690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[Assignment21.xlsx]Dashboar data!PivotTable2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 data'!$A$3</c:f>
              <c:strCache>
                <c:ptCount val="1"/>
                <c:pt idx="0">
                  <c:v>Count of Order 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'Dashboar data'!$A$4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'Dashboar data'!$A$4</c:f>
              <c:numCache>
                <c:formatCode>General</c:formatCode>
                <c:ptCount val="1"/>
                <c:pt idx="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FD-45DD-A3C3-E816C4CA0794}"/>
            </c:ext>
          </c:extLst>
        </c:ser>
        <c:ser>
          <c:idx val="1"/>
          <c:order val="1"/>
          <c:tx>
            <c:strRef>
              <c:f>'Dashboar data'!$B$3</c:f>
              <c:strCache>
                <c:ptCount val="1"/>
                <c:pt idx="0">
                  <c:v>Average of Delivery Time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'Dashboar data'!$A$4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'Dashboar data'!$B$4</c:f>
              <c:numCache>
                <c:formatCode>General</c:formatCode>
                <c:ptCount val="1"/>
                <c:pt idx="0">
                  <c:v>37.75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FD-45DD-A3C3-E816C4CA0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5737855"/>
        <c:axId val="1427511503"/>
      </c:barChart>
      <c:catAx>
        <c:axId val="1465737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511503"/>
        <c:crosses val="autoZero"/>
        <c:auto val="1"/>
        <c:lblAlgn val="ctr"/>
        <c:lblOffset val="100"/>
        <c:noMultiLvlLbl val="0"/>
      </c:catAx>
      <c:valAx>
        <c:axId val="1427511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5737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[Assignment21.xlsx]Restaurant!PivotTable6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Restaurant!$B$3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Restaurant!$A$4:$A$16</c:f>
              <c:strCache>
                <c:ptCount val="12"/>
                <c:pt idx="0">
                  <c:v>Biryani Point</c:v>
                </c:pt>
                <c:pt idx="1">
                  <c:v>Burger House</c:v>
                </c:pt>
                <c:pt idx="2">
                  <c:v>Burger King</c:v>
                </c:pt>
                <c:pt idx="3">
                  <c:v>Dominoz</c:v>
                </c:pt>
                <c:pt idx="4">
                  <c:v>Food Corner</c:v>
                </c:pt>
                <c:pt idx="5">
                  <c:v>Hedkey</c:v>
                </c:pt>
                <c:pt idx="6">
                  <c:v>Kitchen</c:v>
                </c:pt>
                <c:pt idx="7">
                  <c:v>Pizza hub</c:v>
                </c:pt>
                <c:pt idx="8">
                  <c:v>Pizza Hurt</c:v>
                </c:pt>
                <c:pt idx="9">
                  <c:v>Pizza Point</c:v>
                </c:pt>
                <c:pt idx="10">
                  <c:v>Spice Kitchen</c:v>
                </c:pt>
                <c:pt idx="11">
                  <c:v>Udipy</c:v>
                </c:pt>
              </c:strCache>
            </c:strRef>
          </c:cat>
          <c:val>
            <c:numRef>
              <c:f>Restaurant!$B$4:$B$16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9D-4B49-984B-99F7224C5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5776367"/>
        <c:axId val="1427642543"/>
      </c:barChart>
      <c:catAx>
        <c:axId val="1465776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642543"/>
        <c:crosses val="autoZero"/>
        <c:auto val="1"/>
        <c:lblAlgn val="ctr"/>
        <c:lblOffset val="100"/>
        <c:noMultiLvlLbl val="0"/>
      </c:catAx>
      <c:valAx>
        <c:axId val="1427642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5776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[Assignment21.xlsx]Restaurant!PivotTable6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Restaurant!$B$3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Restaurant!$A$4:$A$16</c:f>
              <c:strCache>
                <c:ptCount val="12"/>
                <c:pt idx="0">
                  <c:v>Biryani Point</c:v>
                </c:pt>
                <c:pt idx="1">
                  <c:v>Burger House</c:v>
                </c:pt>
                <c:pt idx="2">
                  <c:v>Burger King</c:v>
                </c:pt>
                <c:pt idx="3">
                  <c:v>Dominoz</c:v>
                </c:pt>
                <c:pt idx="4">
                  <c:v>Food Corner</c:v>
                </c:pt>
                <c:pt idx="5">
                  <c:v>Hedkey</c:v>
                </c:pt>
                <c:pt idx="6">
                  <c:v>Kitchen</c:v>
                </c:pt>
                <c:pt idx="7">
                  <c:v>Pizza hub</c:v>
                </c:pt>
                <c:pt idx="8">
                  <c:v>Pizza Hurt</c:v>
                </c:pt>
                <c:pt idx="9">
                  <c:v>Pizza Point</c:v>
                </c:pt>
                <c:pt idx="10">
                  <c:v>Spice Kitchen</c:v>
                </c:pt>
                <c:pt idx="11">
                  <c:v>Udipy</c:v>
                </c:pt>
              </c:strCache>
            </c:strRef>
          </c:cat>
          <c:val>
            <c:numRef>
              <c:f>Restaurant!$B$4:$B$16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E3-4F0B-A04D-9E0610B7E4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5776367"/>
        <c:axId val="1427642543"/>
      </c:barChart>
      <c:catAx>
        <c:axId val="1465776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642543"/>
        <c:crosses val="autoZero"/>
        <c:auto val="1"/>
        <c:lblAlgn val="ctr"/>
        <c:lblOffset val="100"/>
        <c:noMultiLvlLbl val="0"/>
      </c:catAx>
      <c:valAx>
        <c:axId val="1427642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5776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[Assignment21.xlsx]City summery!PivotTable1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'City summery'!$B$3</c:f>
              <c:strCache>
                <c:ptCount val="1"/>
                <c:pt idx="0">
                  <c:v>Count of Order 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'City summery'!$A$4:$A$7</c:f>
              <c:strCache>
                <c:ptCount val="3"/>
                <c:pt idx="0">
                  <c:v>Ahmedabad</c:v>
                </c:pt>
                <c:pt idx="1">
                  <c:v>Surat</c:v>
                </c:pt>
                <c:pt idx="2">
                  <c:v>Vadodara</c:v>
                </c:pt>
              </c:strCache>
            </c:strRef>
          </c:cat>
          <c:val>
            <c:numRef>
              <c:f>'City summery'!$B$4:$B$7</c:f>
              <c:numCache>
                <c:formatCode>General</c:formatCode>
                <c:ptCount val="3"/>
                <c:pt idx="0">
                  <c:v>5</c:v>
                </c:pt>
                <c:pt idx="1">
                  <c:v>4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FF-4666-9D4E-8D2A9D75AFCD}"/>
            </c:ext>
          </c:extLst>
        </c:ser>
        <c:ser>
          <c:idx val="1"/>
          <c:order val="1"/>
          <c:tx>
            <c:strRef>
              <c:f>'City summery'!$C$3</c:f>
              <c:strCache>
                <c:ptCount val="1"/>
                <c:pt idx="0">
                  <c:v>Sum of Delivery Charge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'City summery'!$A$4:$A$7</c:f>
              <c:strCache>
                <c:ptCount val="3"/>
                <c:pt idx="0">
                  <c:v>Ahmedabad</c:v>
                </c:pt>
                <c:pt idx="1">
                  <c:v>Surat</c:v>
                </c:pt>
                <c:pt idx="2">
                  <c:v>Vadodara</c:v>
                </c:pt>
              </c:strCache>
            </c:strRef>
          </c:cat>
          <c:val>
            <c:numRef>
              <c:f>'City summery'!$C$4:$C$7</c:f>
              <c:numCache>
                <c:formatCode>General</c:formatCode>
                <c:ptCount val="3"/>
                <c:pt idx="0">
                  <c:v>145</c:v>
                </c:pt>
                <c:pt idx="1">
                  <c:v>145</c:v>
                </c:pt>
                <c:pt idx="2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FF-4666-9D4E-8D2A9D75AF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5690527"/>
        <c:axId val="1427617103"/>
      </c:barChart>
      <c:catAx>
        <c:axId val="1465690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617103"/>
        <c:crosses val="autoZero"/>
        <c:auto val="1"/>
        <c:lblAlgn val="ctr"/>
        <c:lblOffset val="100"/>
        <c:noMultiLvlLbl val="0"/>
      </c:catAx>
      <c:valAx>
        <c:axId val="1427617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5690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[Assignment21.xlsx]Dashboar data!PivotTable2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 data'!$A$3</c:f>
              <c:strCache>
                <c:ptCount val="1"/>
                <c:pt idx="0">
                  <c:v>Count of Order 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'Dashboar data'!$A$4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'Dashboar data'!$A$4</c:f>
              <c:numCache>
                <c:formatCode>General</c:formatCode>
                <c:ptCount val="1"/>
                <c:pt idx="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4D-411D-B677-2012CCD2CE52}"/>
            </c:ext>
          </c:extLst>
        </c:ser>
        <c:ser>
          <c:idx val="1"/>
          <c:order val="1"/>
          <c:tx>
            <c:strRef>
              <c:f>'Dashboar data'!$B$3</c:f>
              <c:strCache>
                <c:ptCount val="1"/>
                <c:pt idx="0">
                  <c:v>Average of Delivery Time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'Dashboar data'!$A$4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'Dashboar data'!$B$4</c:f>
              <c:numCache>
                <c:formatCode>General</c:formatCode>
                <c:ptCount val="1"/>
                <c:pt idx="0">
                  <c:v>37.75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4D-411D-B677-2012CCD2CE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5737855"/>
        <c:axId val="1427511503"/>
      </c:barChart>
      <c:catAx>
        <c:axId val="1465737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511503"/>
        <c:crosses val="autoZero"/>
        <c:auto val="1"/>
        <c:lblAlgn val="ctr"/>
        <c:lblOffset val="100"/>
        <c:noMultiLvlLbl val="0"/>
      </c:catAx>
      <c:valAx>
        <c:axId val="1427511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5737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110490</xdr:rowOff>
    </xdr:from>
    <xdr:to>
      <xdr:col>5</xdr:col>
      <xdr:colOff>83820</xdr:colOff>
      <xdr:row>25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A8E82F-28DE-471B-76CB-24A05DDEE7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</xdr:colOff>
      <xdr:row>6</xdr:row>
      <xdr:rowOff>41910</xdr:rowOff>
    </xdr:from>
    <xdr:to>
      <xdr:col>10</xdr:col>
      <xdr:colOff>327660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A46113-9D02-8F30-B099-6B2D578443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190500</xdr:colOff>
      <xdr:row>6</xdr:row>
      <xdr:rowOff>41910</xdr:rowOff>
    </xdr:from>
    <xdr:to>
      <xdr:col>13</xdr:col>
      <xdr:colOff>30480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DF46A4-79D5-C53E-45E3-EF2121FEE7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0</xdr:rowOff>
    </xdr:from>
    <xdr:to>
      <xdr:col>8</xdr:col>
      <xdr:colOff>304800</xdr:colOff>
      <xdr:row>29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DE8CF4-D1DC-419C-99F7-5DE69037CC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13</xdr:row>
      <xdr:rowOff>175260</xdr:rowOff>
    </xdr:from>
    <xdr:to>
      <xdr:col>16</xdr:col>
      <xdr:colOff>304800</xdr:colOff>
      <xdr:row>28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AFB77A7-0EA5-485F-A65F-2F3FC6FD6A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594360</xdr:colOff>
      <xdr:row>0</xdr:row>
      <xdr:rowOff>15240</xdr:rowOff>
    </xdr:from>
    <xdr:to>
      <xdr:col>16</xdr:col>
      <xdr:colOff>358140</xdr:colOff>
      <xdr:row>13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40E26C0-20BC-4422-8360-362D3117B0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OLLY" refreshedDate="46296.551985995371" createdVersion="8" refreshedVersion="8" minRefreshableVersion="3" recordCount="12" xr:uid="{0F9300B7-063E-4198-8759-CD1E53630038}">
  <cacheSource type="worksheet">
    <worksheetSource ref="A1:J13" sheet="Orders"/>
  </cacheSource>
  <cacheFields count="10">
    <cacheField name="Order ID" numFmtId="0">
      <sharedItems count="12">
        <s v="O001"/>
        <s v="O002"/>
        <s v="O003"/>
        <s v="O004"/>
        <s v="O005"/>
        <s v="O006"/>
        <s v="O007"/>
        <s v="O008"/>
        <s v="O009"/>
        <s v="O010"/>
        <s v="O011"/>
        <s v="O012"/>
      </sharedItems>
    </cacheField>
    <cacheField name="Restaurant ID" numFmtId="0">
      <sharedItems count="5">
        <s v="R101"/>
        <s v="R102"/>
        <s v="R103"/>
        <s v="R104"/>
        <s v="R105"/>
      </sharedItems>
    </cacheField>
    <cacheField name="Restaurant Name" numFmtId="0">
      <sharedItems count="12">
        <s v="Pizza hub"/>
        <s v="Burger House"/>
        <s v="Spice Kitchen"/>
        <s v="Biryani Point"/>
        <s v="Food Corner"/>
        <s v="Pizza Point"/>
        <s v="Dominoz"/>
        <s v="Pizza Hurt"/>
        <s v="Burger King"/>
        <s v="Hedkey"/>
        <s v="Kitchen"/>
        <s v="Udipy"/>
      </sharedItems>
    </cacheField>
    <cacheField name="City" numFmtId="0">
      <sharedItems count="3">
        <s v="Ahmedabad"/>
        <s v="Surat"/>
        <s v="Vadodara"/>
      </sharedItems>
    </cacheField>
    <cacheField name="Delivery Date" numFmtId="169">
      <sharedItems containsSemiMixedTypes="0" containsNonDate="0" containsDate="1" containsString="0" minDate="2026-09-01T00:00:00" maxDate="2026-09-13T00:00:00"/>
    </cacheField>
    <cacheField name="Day" numFmtId="169">
      <sharedItems count="7">
        <s v="Tuesday"/>
        <s v="Wednesday"/>
        <s v="Thursday"/>
        <s v="Friday"/>
        <s v="Saturday"/>
        <s v="Sunday"/>
        <s v="Monday"/>
      </sharedItems>
    </cacheField>
    <cacheField name="Delivery Partner" numFmtId="0">
      <sharedItems/>
    </cacheField>
    <cacheField name="Delivery Time" numFmtId="0">
      <sharedItems containsSemiMixedTypes="0" containsString="0" containsNumber="1" containsInteger="1" minValue="28" maxValue="50"/>
    </cacheField>
    <cacheField name="Delivery Charge" numFmtId="0">
      <sharedItems containsSemiMixedTypes="0" containsString="0" containsNumber="1" containsInteger="1" minValue="25" maxValue="40"/>
    </cacheField>
    <cacheField name="Amount" numFmtId="0">
      <sharedItems containsSemiMixedTypes="0" containsString="0" containsNumber="1" containsInteger="1" minValue="300" maxValue="7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x v="0"/>
    <x v="0"/>
    <d v="2026-09-01T00:00:00"/>
    <x v="0"/>
    <s v="Rahul"/>
    <n v="32"/>
    <n v="30"/>
    <n v="450"/>
  </r>
  <r>
    <x v="1"/>
    <x v="1"/>
    <x v="1"/>
    <x v="1"/>
    <d v="2026-09-02T00:00:00"/>
    <x v="1"/>
    <s v="Priya"/>
    <n v="40"/>
    <n v="35"/>
    <n v="520"/>
  </r>
  <r>
    <x v="2"/>
    <x v="2"/>
    <x v="2"/>
    <x v="0"/>
    <d v="2026-09-03T00:00:00"/>
    <x v="2"/>
    <s v="Unassigned"/>
    <n v="28"/>
    <n v="25"/>
    <n v="300"/>
  </r>
  <r>
    <x v="3"/>
    <x v="3"/>
    <x v="3"/>
    <x v="2"/>
    <d v="2026-09-04T00:00:00"/>
    <x v="3"/>
    <s v="Amit"/>
    <n v="45"/>
    <n v="40"/>
    <n v="650"/>
  </r>
  <r>
    <x v="4"/>
    <x v="0"/>
    <x v="4"/>
    <x v="0"/>
    <d v="2026-09-05T00:00:00"/>
    <x v="4"/>
    <s v="Unassigned"/>
    <n v="35"/>
    <n v="30"/>
    <n v="400"/>
  </r>
  <r>
    <x v="5"/>
    <x v="4"/>
    <x v="5"/>
    <x v="1"/>
    <d v="2026-09-06T00:00:00"/>
    <x v="5"/>
    <s v="Neha"/>
    <n v="38"/>
    <n v="35"/>
    <n v="550"/>
  </r>
  <r>
    <x v="6"/>
    <x v="1"/>
    <x v="6"/>
    <x v="0"/>
    <d v="2026-09-07T00:00:00"/>
    <x v="6"/>
    <s v="Rahul"/>
    <n v="42"/>
    <n v="30"/>
    <n v="600"/>
  </r>
  <r>
    <x v="7"/>
    <x v="2"/>
    <x v="7"/>
    <x v="2"/>
    <d v="2026-09-08T00:00:00"/>
    <x v="0"/>
    <s v="Unassigned"/>
    <n v="30"/>
    <n v="25"/>
    <n v="350"/>
  </r>
  <r>
    <x v="8"/>
    <x v="3"/>
    <x v="8"/>
    <x v="1"/>
    <d v="2026-09-09T00:00:00"/>
    <x v="1"/>
    <s v="Priya"/>
    <n v="50"/>
    <n v="40"/>
    <n v="700"/>
  </r>
  <r>
    <x v="9"/>
    <x v="4"/>
    <x v="9"/>
    <x v="0"/>
    <d v="2026-09-10T00:00:00"/>
    <x v="2"/>
    <s v="Amit"/>
    <n v="36"/>
    <n v="30"/>
    <n v="480"/>
  </r>
  <r>
    <x v="10"/>
    <x v="0"/>
    <x v="10"/>
    <x v="1"/>
    <d v="2026-09-11T00:00:00"/>
    <x v="3"/>
    <s v="Neha"/>
    <n v="33"/>
    <n v="35"/>
    <n v="420"/>
  </r>
  <r>
    <x v="11"/>
    <x v="1"/>
    <x v="11"/>
    <x v="2"/>
    <d v="2026-09-12T00:00:00"/>
    <x v="4"/>
    <s v="Unassigned"/>
    <n v="44"/>
    <n v="40"/>
    <n v="5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AF16D2-BFF0-4F7B-B162-06F13FF72129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C7" firstHeaderRow="0" firstDataRow="1" firstDataCol="1"/>
  <pivotFields count="10">
    <pivotField dataField="1"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numFmtId="169" showAll="0"/>
    <pivotField showAll="0"/>
    <pivotField showAll="0"/>
    <pivotField showAll="0"/>
    <pivotField dataField="1"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 ID" fld="0" subtotal="count" baseField="0" baseItem="0"/>
    <dataField name="Sum of Delivery Charge" fld="8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D6D6AC-5536-438E-BC18-59B198B30E0A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4" firstHeaderRow="0" firstDataRow="1" firstDataCol="0"/>
  <pivotFields count="10">
    <pivotField dataField="1" showAll="0"/>
    <pivotField showAll="0"/>
    <pivotField showAll="0"/>
    <pivotField showAll="0"/>
    <pivotField numFmtId="169" showAll="0"/>
    <pivotField showAll="0"/>
    <pivotField showAll="0"/>
    <pivotField dataField="1" showAll="0"/>
    <pivotField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Count of Order ID" fld="0" subtotal="count" baseField="0" baseItem="0"/>
    <dataField name="Average of Delivery Time" fld="7" subtotal="average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588E77-BBCF-4561-B047-32AD7A1EBEEF}" name="PivotTable6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6" firstHeaderRow="1" firstDataRow="1" firstDataCol="1"/>
  <pivotFields count="10">
    <pivotField dataFiel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axis="axisRow" showAll="0">
      <items count="13">
        <item x="3"/>
        <item x="1"/>
        <item x="8"/>
        <item x="6"/>
        <item x="4"/>
        <item x="9"/>
        <item x="10"/>
        <item x="0"/>
        <item x="7"/>
        <item x="5"/>
        <item x="2"/>
        <item x="11"/>
        <item t="default"/>
      </items>
    </pivotField>
    <pivotField showAll="0"/>
    <pivotField numFmtId="169" showAll="0"/>
    <pivotField showAll="0">
      <items count="8">
        <item x="5"/>
        <item x="6"/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Order 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A72F6-DC5E-4BF3-8177-22B404A39D41}">
  <dimension ref="A1:J13"/>
  <sheetViews>
    <sheetView topLeftCell="B1" workbookViewId="0">
      <selection sqref="A1:J13"/>
    </sheetView>
  </sheetViews>
  <sheetFormatPr defaultRowHeight="14.4" x14ac:dyDescent="0.3"/>
  <cols>
    <col min="2" max="2" width="13.77734375" customWidth="1"/>
    <col min="3" max="3" width="13.21875" style="13" customWidth="1"/>
    <col min="4" max="4" width="12.88671875" customWidth="1"/>
    <col min="5" max="6" width="13.77734375" customWidth="1"/>
    <col min="7" max="7" width="11.109375" customWidth="1"/>
    <col min="8" max="9" width="11.77734375" customWidth="1"/>
  </cols>
  <sheetData>
    <row r="1" spans="1:10" ht="28.8" x14ac:dyDescent="0.3">
      <c r="A1" s="1" t="s">
        <v>0</v>
      </c>
      <c r="B1" s="1" t="s">
        <v>1</v>
      </c>
      <c r="C1" s="10" t="s">
        <v>33</v>
      </c>
      <c r="D1" s="1" t="s">
        <v>2</v>
      </c>
      <c r="E1" s="1" t="s">
        <v>3</v>
      </c>
      <c r="F1" s="1" t="s">
        <v>46</v>
      </c>
      <c r="G1" s="1" t="s">
        <v>4</v>
      </c>
      <c r="H1" s="1" t="s">
        <v>5</v>
      </c>
      <c r="I1" s="3" t="s">
        <v>6</v>
      </c>
      <c r="J1" s="3" t="s">
        <v>7</v>
      </c>
    </row>
    <row r="2" spans="1:10" x14ac:dyDescent="0.3">
      <c r="A2" s="4" t="s">
        <v>8</v>
      </c>
      <c r="B2" s="4" t="s">
        <v>9</v>
      </c>
      <c r="C2" s="11" t="s">
        <v>38</v>
      </c>
      <c r="D2" s="4" t="s">
        <v>10</v>
      </c>
      <c r="E2" s="5">
        <v>46266</v>
      </c>
      <c r="F2" s="5" t="str">
        <f>TEXT(E2,"dddd")</f>
        <v>Tuesday</v>
      </c>
      <c r="G2" s="4" t="s">
        <v>11</v>
      </c>
      <c r="H2" s="4">
        <v>32</v>
      </c>
      <c r="I2" s="2">
        <v>30</v>
      </c>
      <c r="J2" s="2">
        <v>450</v>
      </c>
    </row>
    <row r="3" spans="1:10" x14ac:dyDescent="0.3">
      <c r="A3" s="4" t="s">
        <v>12</v>
      </c>
      <c r="B3" s="4" t="s">
        <v>13</v>
      </c>
      <c r="C3" s="12" t="s">
        <v>34</v>
      </c>
      <c r="D3" s="4" t="s">
        <v>14</v>
      </c>
      <c r="E3" s="5">
        <v>46267</v>
      </c>
      <c r="F3" s="5" t="str">
        <f t="shared" ref="F3:F13" si="0">TEXT(E3,"dddd")</f>
        <v>Wednesday</v>
      </c>
      <c r="G3" s="4" t="s">
        <v>15</v>
      </c>
      <c r="H3" s="4">
        <v>40</v>
      </c>
      <c r="I3" s="2">
        <v>35</v>
      </c>
      <c r="J3" s="2">
        <v>520</v>
      </c>
    </row>
    <row r="4" spans="1:10" x14ac:dyDescent="0.3">
      <c r="A4" s="4" t="s">
        <v>16</v>
      </c>
      <c r="B4" s="4" t="s">
        <v>17</v>
      </c>
      <c r="C4" s="12" t="s">
        <v>35</v>
      </c>
      <c r="D4" s="4" t="s">
        <v>10</v>
      </c>
      <c r="E4" s="5">
        <v>46268</v>
      </c>
      <c r="F4" s="5" t="str">
        <f t="shared" si="0"/>
        <v>Thursday</v>
      </c>
      <c r="G4" s="4" t="s">
        <v>32</v>
      </c>
      <c r="H4" s="4">
        <v>28</v>
      </c>
      <c r="I4" s="2">
        <v>25</v>
      </c>
      <c r="J4" s="2">
        <v>300</v>
      </c>
    </row>
    <row r="5" spans="1:10" x14ac:dyDescent="0.3">
      <c r="A5" s="4" t="s">
        <v>18</v>
      </c>
      <c r="B5" s="4" t="s">
        <v>19</v>
      </c>
      <c r="C5" s="12" t="s">
        <v>36</v>
      </c>
      <c r="D5" s="4" t="s">
        <v>20</v>
      </c>
      <c r="E5" s="5">
        <v>46269</v>
      </c>
      <c r="F5" s="5" t="str">
        <f t="shared" si="0"/>
        <v>Friday</v>
      </c>
      <c r="G5" s="4" t="s">
        <v>21</v>
      </c>
      <c r="H5" s="4">
        <v>45</v>
      </c>
      <c r="I5" s="2">
        <v>40</v>
      </c>
      <c r="J5" s="2">
        <v>650</v>
      </c>
    </row>
    <row r="6" spans="1:10" x14ac:dyDescent="0.3">
      <c r="A6" s="4" t="s">
        <v>22</v>
      </c>
      <c r="B6" s="4" t="s">
        <v>9</v>
      </c>
      <c r="C6" s="12" t="s">
        <v>37</v>
      </c>
      <c r="D6" s="4" t="s">
        <v>10</v>
      </c>
      <c r="E6" s="5">
        <v>46270</v>
      </c>
      <c r="F6" s="5" t="str">
        <f t="shared" si="0"/>
        <v>Saturday</v>
      </c>
      <c r="G6" s="4" t="s">
        <v>32</v>
      </c>
      <c r="H6" s="4">
        <v>35</v>
      </c>
      <c r="I6" s="2">
        <v>30</v>
      </c>
      <c r="J6" s="2">
        <v>400</v>
      </c>
    </row>
    <row r="7" spans="1:10" x14ac:dyDescent="0.3">
      <c r="A7" s="4" t="s">
        <v>23</v>
      </c>
      <c r="B7" s="4" t="s">
        <v>24</v>
      </c>
      <c r="C7" s="12" t="s">
        <v>39</v>
      </c>
      <c r="D7" s="4" t="s">
        <v>14</v>
      </c>
      <c r="E7" s="5">
        <v>46271</v>
      </c>
      <c r="F7" s="5" t="str">
        <f t="shared" si="0"/>
        <v>Sunday</v>
      </c>
      <c r="G7" s="4" t="s">
        <v>25</v>
      </c>
      <c r="H7" s="4">
        <v>38</v>
      </c>
      <c r="I7" s="2">
        <v>35</v>
      </c>
      <c r="J7" s="2">
        <v>550</v>
      </c>
    </row>
    <row r="8" spans="1:10" x14ac:dyDescent="0.3">
      <c r="A8" s="4" t="s">
        <v>26</v>
      </c>
      <c r="B8" s="4" t="s">
        <v>13</v>
      </c>
      <c r="C8" s="11" t="s">
        <v>38</v>
      </c>
      <c r="D8" s="4" t="s">
        <v>10</v>
      </c>
      <c r="E8" s="5">
        <v>46272</v>
      </c>
      <c r="F8" s="5" t="str">
        <f t="shared" si="0"/>
        <v>Monday</v>
      </c>
      <c r="G8" s="4" t="s">
        <v>11</v>
      </c>
      <c r="H8" s="4">
        <v>42</v>
      </c>
      <c r="I8" s="2">
        <v>30</v>
      </c>
      <c r="J8" s="2">
        <v>600</v>
      </c>
    </row>
    <row r="9" spans="1:10" x14ac:dyDescent="0.3">
      <c r="A9" s="4" t="s">
        <v>27</v>
      </c>
      <c r="B9" s="4" t="s">
        <v>17</v>
      </c>
      <c r="C9" s="11" t="s">
        <v>38</v>
      </c>
      <c r="D9" s="4" t="s">
        <v>20</v>
      </c>
      <c r="E9" s="5">
        <v>46273</v>
      </c>
      <c r="F9" s="5" t="str">
        <f t="shared" si="0"/>
        <v>Tuesday</v>
      </c>
      <c r="G9" s="4" t="s">
        <v>32</v>
      </c>
      <c r="H9" s="4">
        <v>30</v>
      </c>
      <c r="I9" s="2">
        <v>25</v>
      </c>
      <c r="J9" s="2">
        <v>350</v>
      </c>
    </row>
    <row r="10" spans="1:10" x14ac:dyDescent="0.3">
      <c r="A10" s="4" t="s">
        <v>28</v>
      </c>
      <c r="B10" s="4" t="s">
        <v>19</v>
      </c>
      <c r="C10" s="12" t="s">
        <v>35</v>
      </c>
      <c r="D10" s="4" t="s">
        <v>14</v>
      </c>
      <c r="E10" s="5">
        <v>46274</v>
      </c>
      <c r="F10" s="5" t="str">
        <f t="shared" si="0"/>
        <v>Wednesday</v>
      </c>
      <c r="G10" s="4" t="s">
        <v>15</v>
      </c>
      <c r="H10" s="4">
        <v>50</v>
      </c>
      <c r="I10" s="2">
        <v>40</v>
      </c>
      <c r="J10" s="2">
        <v>700</v>
      </c>
    </row>
    <row r="11" spans="1:10" x14ac:dyDescent="0.3">
      <c r="A11" s="4" t="s">
        <v>29</v>
      </c>
      <c r="B11" s="4" t="s">
        <v>24</v>
      </c>
      <c r="C11" s="12" t="s">
        <v>35</v>
      </c>
      <c r="D11" s="4" t="s">
        <v>10</v>
      </c>
      <c r="E11" s="5">
        <v>46275</v>
      </c>
      <c r="F11" s="5" t="str">
        <f t="shared" si="0"/>
        <v>Thursday</v>
      </c>
      <c r="G11" s="4" t="s">
        <v>21</v>
      </c>
      <c r="H11" s="4">
        <v>36</v>
      </c>
      <c r="I11" s="2">
        <v>30</v>
      </c>
      <c r="J11" s="2">
        <v>480</v>
      </c>
    </row>
    <row r="12" spans="1:10" x14ac:dyDescent="0.3">
      <c r="A12" s="4" t="s">
        <v>30</v>
      </c>
      <c r="B12" s="4" t="s">
        <v>9</v>
      </c>
      <c r="C12" s="12" t="s">
        <v>35</v>
      </c>
      <c r="D12" s="4" t="s">
        <v>14</v>
      </c>
      <c r="E12" s="5">
        <v>46276</v>
      </c>
      <c r="F12" s="5" t="str">
        <f t="shared" si="0"/>
        <v>Friday</v>
      </c>
      <c r="G12" s="4" t="s">
        <v>25</v>
      </c>
      <c r="H12" s="4">
        <v>33</v>
      </c>
      <c r="I12" s="2">
        <v>35</v>
      </c>
      <c r="J12" s="2">
        <v>420</v>
      </c>
    </row>
    <row r="13" spans="1:10" x14ac:dyDescent="0.3">
      <c r="A13" s="4" t="s">
        <v>31</v>
      </c>
      <c r="B13" s="4" t="s">
        <v>13</v>
      </c>
      <c r="C13" s="12" t="s">
        <v>45</v>
      </c>
      <c r="D13" s="4" t="s">
        <v>20</v>
      </c>
      <c r="E13" s="5">
        <v>46277</v>
      </c>
      <c r="F13" s="5" t="str">
        <f t="shared" si="0"/>
        <v>Saturday</v>
      </c>
      <c r="G13" s="4" t="s">
        <v>32</v>
      </c>
      <c r="H13" s="4">
        <v>44</v>
      </c>
      <c r="I13" s="2">
        <v>40</v>
      </c>
      <c r="J13" s="2">
        <v>580</v>
      </c>
    </row>
  </sheetData>
  <autoFilter ref="A1:J13" xr:uid="{114A72F6-DC5E-4BF3-8177-22B404A39D41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271EB-EBDD-4389-9201-A8FADBAF41F8}">
  <dimension ref="A1:C7"/>
  <sheetViews>
    <sheetView workbookViewId="0">
      <selection activeCell="B8" sqref="B8"/>
    </sheetView>
  </sheetViews>
  <sheetFormatPr defaultRowHeight="14.4" x14ac:dyDescent="0.3"/>
  <cols>
    <col min="1" max="1" width="13.88671875" customWidth="1"/>
    <col min="2" max="3" width="15.109375" customWidth="1"/>
  </cols>
  <sheetData>
    <row r="1" spans="1:3" ht="28.8" x14ac:dyDescent="0.3">
      <c r="A1" s="1" t="s">
        <v>1</v>
      </c>
      <c r="B1" s="1" t="s">
        <v>33</v>
      </c>
      <c r="C1" s="1"/>
    </row>
    <row r="2" spans="1:3" x14ac:dyDescent="0.3">
      <c r="A2" s="4" t="s">
        <v>9</v>
      </c>
      <c r="B2" s="6" t="s">
        <v>38</v>
      </c>
      <c r="C2" s="4"/>
    </row>
    <row r="3" spans="1:3" x14ac:dyDescent="0.3">
      <c r="A3" s="4" t="s">
        <v>13</v>
      </c>
      <c r="B3" s="4" t="s">
        <v>34</v>
      </c>
      <c r="C3" s="4"/>
    </row>
    <row r="4" spans="1:3" x14ac:dyDescent="0.3">
      <c r="A4" s="4" t="s">
        <v>17</v>
      </c>
      <c r="B4" s="4" t="s">
        <v>35</v>
      </c>
      <c r="C4" s="4"/>
    </row>
    <row r="5" spans="1:3" x14ac:dyDescent="0.3">
      <c r="A5" s="4" t="s">
        <v>19</v>
      </c>
      <c r="B5" s="4" t="s">
        <v>36</v>
      </c>
      <c r="C5" s="4"/>
    </row>
    <row r="6" spans="1:3" x14ac:dyDescent="0.3">
      <c r="A6" s="4" t="s">
        <v>24</v>
      </c>
      <c r="B6" s="4" t="s">
        <v>37</v>
      </c>
      <c r="C6" s="4"/>
    </row>
    <row r="7" spans="1:3" x14ac:dyDescent="0.3">
      <c r="B7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52F04-FA2F-401B-AAF4-9D042812CD54}">
  <dimension ref="A3:C7"/>
  <sheetViews>
    <sheetView workbookViewId="0">
      <selection activeCell="F8" sqref="F8"/>
    </sheetView>
  </sheetViews>
  <sheetFormatPr defaultRowHeight="14.4" x14ac:dyDescent="0.3"/>
  <cols>
    <col min="1" max="1" width="12.44140625" bestFit="1" customWidth="1"/>
    <col min="2" max="2" width="15.109375" bestFit="1" customWidth="1"/>
    <col min="3" max="3" width="20.109375" bestFit="1" customWidth="1"/>
  </cols>
  <sheetData>
    <row r="3" spans="1:3" x14ac:dyDescent="0.3">
      <c r="A3" s="7" t="s">
        <v>47</v>
      </c>
      <c r="B3" t="s">
        <v>49</v>
      </c>
      <c r="C3" t="s">
        <v>50</v>
      </c>
    </row>
    <row r="4" spans="1:3" x14ac:dyDescent="0.3">
      <c r="A4" s="8" t="s">
        <v>10</v>
      </c>
      <c r="B4" s="9">
        <v>5</v>
      </c>
      <c r="C4" s="9">
        <v>145</v>
      </c>
    </row>
    <row r="5" spans="1:3" x14ac:dyDescent="0.3">
      <c r="A5" s="8" t="s">
        <v>14</v>
      </c>
      <c r="B5" s="9">
        <v>4</v>
      </c>
      <c r="C5" s="9">
        <v>145</v>
      </c>
    </row>
    <row r="6" spans="1:3" x14ac:dyDescent="0.3">
      <c r="A6" s="8" t="s">
        <v>20</v>
      </c>
      <c r="B6" s="9">
        <v>3</v>
      </c>
      <c r="C6" s="9">
        <v>105</v>
      </c>
    </row>
    <row r="7" spans="1:3" x14ac:dyDescent="0.3">
      <c r="A7" s="8" t="s">
        <v>48</v>
      </c>
      <c r="B7" s="9">
        <v>12</v>
      </c>
      <c r="C7" s="9">
        <v>395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A5850-E25F-49EE-9FD4-65A7269A875C}">
  <dimension ref="A3:B4"/>
  <sheetViews>
    <sheetView workbookViewId="0">
      <selection activeCell="A4" sqref="A4:B4"/>
    </sheetView>
  </sheetViews>
  <sheetFormatPr defaultRowHeight="14.4" x14ac:dyDescent="0.3"/>
  <cols>
    <col min="1" max="1" width="15.109375" bestFit="1" customWidth="1"/>
    <col min="2" max="2" width="21.33203125" bestFit="1" customWidth="1"/>
  </cols>
  <sheetData>
    <row r="3" spans="1:2" x14ac:dyDescent="0.3">
      <c r="A3" t="s">
        <v>49</v>
      </c>
      <c r="B3" t="s">
        <v>51</v>
      </c>
    </row>
    <row r="4" spans="1:2" x14ac:dyDescent="0.3">
      <c r="A4" s="9">
        <v>12</v>
      </c>
      <c r="B4" s="9">
        <v>37.75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3DBF2-8CC3-4DFD-957F-B0B8858A93EC}">
  <dimension ref="A3:B16"/>
  <sheetViews>
    <sheetView tabSelected="1" workbookViewId="0">
      <selection activeCell="B6" sqref="B6"/>
    </sheetView>
  </sheetViews>
  <sheetFormatPr defaultRowHeight="14.4" x14ac:dyDescent="0.3"/>
  <cols>
    <col min="1" max="1" width="12.44140625" bestFit="1" customWidth="1"/>
    <col min="2" max="2" width="15.109375" bestFit="1" customWidth="1"/>
    <col min="3" max="6" width="5.109375" bestFit="1" customWidth="1"/>
    <col min="7" max="7" width="10.5546875" bestFit="1" customWidth="1"/>
  </cols>
  <sheetData>
    <row r="3" spans="1:2" x14ac:dyDescent="0.3">
      <c r="A3" s="7" t="s">
        <v>47</v>
      </c>
      <c r="B3" t="s">
        <v>49</v>
      </c>
    </row>
    <row r="4" spans="1:2" x14ac:dyDescent="0.3">
      <c r="A4" s="8" t="s">
        <v>36</v>
      </c>
      <c r="B4" s="9">
        <v>1</v>
      </c>
    </row>
    <row r="5" spans="1:2" x14ac:dyDescent="0.3">
      <c r="A5" s="8" t="s">
        <v>34</v>
      </c>
      <c r="B5" s="9">
        <v>1</v>
      </c>
    </row>
    <row r="6" spans="1:2" x14ac:dyDescent="0.3">
      <c r="A6" s="8" t="s">
        <v>42</v>
      </c>
      <c r="B6" s="9">
        <v>1</v>
      </c>
    </row>
    <row r="7" spans="1:2" x14ac:dyDescent="0.3">
      <c r="A7" s="8" t="s">
        <v>40</v>
      </c>
      <c r="B7" s="9">
        <v>1</v>
      </c>
    </row>
    <row r="8" spans="1:2" x14ac:dyDescent="0.3">
      <c r="A8" s="8" t="s">
        <v>37</v>
      </c>
      <c r="B8" s="9">
        <v>1</v>
      </c>
    </row>
    <row r="9" spans="1:2" x14ac:dyDescent="0.3">
      <c r="A9" s="8" t="s">
        <v>43</v>
      </c>
      <c r="B9" s="9">
        <v>1</v>
      </c>
    </row>
    <row r="10" spans="1:2" x14ac:dyDescent="0.3">
      <c r="A10" s="8" t="s">
        <v>44</v>
      </c>
      <c r="B10" s="9">
        <v>1</v>
      </c>
    </row>
    <row r="11" spans="1:2" x14ac:dyDescent="0.3">
      <c r="A11" s="8" t="s">
        <v>38</v>
      </c>
      <c r="B11" s="9">
        <v>1</v>
      </c>
    </row>
    <row r="12" spans="1:2" x14ac:dyDescent="0.3">
      <c r="A12" s="8" t="s">
        <v>41</v>
      </c>
      <c r="B12" s="9">
        <v>1</v>
      </c>
    </row>
    <row r="13" spans="1:2" x14ac:dyDescent="0.3">
      <c r="A13" s="8" t="s">
        <v>39</v>
      </c>
      <c r="B13" s="9">
        <v>1</v>
      </c>
    </row>
    <row r="14" spans="1:2" x14ac:dyDescent="0.3">
      <c r="A14" s="8" t="s">
        <v>35</v>
      </c>
      <c r="B14" s="9">
        <v>1</v>
      </c>
    </row>
    <row r="15" spans="1:2" x14ac:dyDescent="0.3">
      <c r="A15" s="8" t="s">
        <v>45</v>
      </c>
      <c r="B15" s="9">
        <v>1</v>
      </c>
    </row>
    <row r="16" spans="1:2" x14ac:dyDescent="0.3">
      <c r="A16" s="8" t="s">
        <v>48</v>
      </c>
      <c r="B16" s="9">
        <v>12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5FAAE-78E5-43C3-AA90-06BEDF49512F}">
  <dimension ref="A1"/>
  <sheetViews>
    <sheetView workbookViewId="0">
      <selection activeCell="R12" sqref="R12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Orders</vt:lpstr>
      <vt:lpstr>Restaurant Detail| Restaurant I</vt:lpstr>
      <vt:lpstr>City summery</vt:lpstr>
      <vt:lpstr>Dashboar data</vt:lpstr>
      <vt:lpstr>Restaurant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Dolly Patel</dc:creator>
  <cp:lastModifiedBy>Dolly Patel</cp:lastModifiedBy>
  <dcterms:created xsi:type="dcterms:W3CDTF">2026-10-01T05:22:06Z</dcterms:created>
  <dcterms:modified xsi:type="dcterms:W3CDTF">2026-10-01T08:23:23Z</dcterms:modified>
</cp:coreProperties>
</file>